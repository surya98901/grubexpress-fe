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ya\ps-projects\GE fullstack\GrubExpress-Fe\"/>
    </mc:Choice>
  </mc:AlternateContent>
  <xr:revisionPtr revIDLastSave="0" documentId="13_ncr:1_{77EB15C0-9F0D-46CF-A779-250D9509BE40}" xr6:coauthVersionLast="47" xr6:coauthVersionMax="47" xr10:uidLastSave="{00000000-0000-0000-0000-000000000000}"/>
  <bookViews>
    <workbookView xWindow="-28200" yWindow="-1425" windowWidth="28320" windowHeight="16440" activeTab="1" xr2:uid="{00000000-000D-0000-FFFF-FFFF00000000}"/>
  </bookViews>
  <sheets>
    <sheet name="Overview" sheetId="1" r:id="rId1"/>
    <sheet name="Review 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12" i="1"/>
  <c r="B11" i="1"/>
  <c r="E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<sst xmlns="http://schemas.openxmlformats.org/spreadsheetml/2006/main" count="626" uniqueCount="388">
  <si>
    <t>GrubExpress Frontend Review</t>
  </si>
  <si>
    <t>Component-wise tracker | Static source review; build/lint checked, no live walkthrough | 2026-10-03</t>
  </si>
  <si>
    <t>Overall</t>
  </si>
  <si>
    <t>Count</t>
  </si>
  <si>
    <t>Priority</t>
  </si>
  <si>
    <t>Total findings</t>
  </si>
  <si>
    <t>Critical</t>
  </si>
  <si>
    <t>Open</t>
  </si>
  <si>
    <t>High</t>
  </si>
  <si>
    <t>Critical + High</t>
  </si>
  <si>
    <t>Medium</t>
  </si>
  <si>
    <t>Low</t>
  </si>
  <si>
    <t>Finding type</t>
  </si>
  <si>
    <t>Type / scope</t>
  </si>
  <si>
    <t>Meaning</t>
  </si>
  <si>
    <t>Confirmed defect</t>
  </si>
  <si>
    <t>Specific behavior evidenced by source/build output.</t>
  </si>
  <si>
    <t>Build or primary customer flow is blocked.</t>
  </si>
  <si>
    <t>Incomplete feature</t>
  </si>
  <si>
    <t>Visible workflow/control exists but implementation is missing.</t>
  </si>
  <si>
    <t>Major flow, data, navigation, or admin function is broken/incomplete.</t>
  </si>
  <si>
    <t>Improvement</t>
  </si>
  <si>
    <t>Hardening or quality work; not necessarily a runtime bug.</t>
  </si>
  <si>
    <t>Meaningful UX, error-state, accessibility, or reliability risk.</t>
  </si>
  <si>
    <t>Review required</t>
  </si>
  <si>
    <t>Dependency/runtime behavior needs clean-install confirmation.</t>
  </si>
  <si>
    <t>Polish or maintainability improvement.</t>
  </si>
  <si>
    <t>Frontend review issue tracker</t>
  </si>
  <si>
    <t>Filter by component, classification, priority, or status. Update Status as fixes progress.</t>
  </si>
  <si>
    <t>ID</t>
  </si>
  <si>
    <t>Classification</t>
  </si>
  <si>
    <t>Component / route</t>
  </si>
  <si>
    <t>Finding</t>
  </si>
  <si>
    <t>Impact / suggested action</t>
  </si>
  <si>
    <t>Evidence / source</t>
  </si>
  <si>
    <t>Status</t>
  </si>
  <si>
    <t>FE-001</t>
  </si>
  <si>
    <t>Build / TypeScript</t>
  </si>
  <si>
    <t>Application build</t>
  </si>
  <si>
    <t>Production build stops at TypeScript compilation. Diagnostics include unresolved names, unsupported component props, and unused declarations.</t>
  </si>
  <si>
    <t>No deployable build. Fix compiler errors first; rerun build and enforce it in CI.</t>
  </si>
  <si>
    <t>npm run build; src/**/*.ts(x)</t>
  </si>
  <si>
    <t>FE-002</t>
  </si>
  <si>
    <t>Hooks / Runtime</t>
  </si>
  <si>
    <t>OfferContainer</t>
  </si>
  <si>
    <t>Hooks are called in lowercase helper functions that are conditionally invoked; delivery and dine-out branches call different hook sequences.</t>
  </si>
  <si>
    <t>Switching service type can trigger hook-order errors. Split into capitalized child components or keep hook order stable.</t>
  </si>
  <si>
    <t>src/components/offers/OffersContainer.tsx</t>
  </si>
  <si>
    <t>FE-003</t>
  </si>
  <si>
    <t>Build / Component rendering</t>
  </si>
  <si>
    <t>SortByMenu</t>
  </si>
  <si>
    <t>JSX is not returned and sortValues/handleLocationChange are undefined.</t>
  </si>
  <si>
    <t>Component renders nothing and fails type checking. Implement with defined props/state or remove it.</t>
  </si>
  <si>
    <t>src/components/sortByMenu.tsx</t>
  </si>
  <si>
    <t>FE-004</t>
  </si>
  <si>
    <t>Build / UI API mismatch</t>
  </si>
  <si>
    <t>LocationMenu</t>
  </si>
  <si>
    <t>DropdownMenuTrigger uses unsupported asChild prop per TypeScript diagnostics.</t>
  </si>
  <si>
    <t>Component fails type checking. Use the trigger API supported by installed wrapper.</t>
  </si>
  <si>
    <t>src/components/customer/LocationMenu.tsx</t>
  </si>
  <si>
    <t>FE-005</t>
  </si>
  <si>
    <t>Build / Lint quality</t>
  </si>
  <si>
    <t>Application source</t>
  </si>
  <si>
    <t>Lint reports 44 errors and 3 warnings: unused values, any, hook rules, UI fast-refresh rules.</t>
  </si>
  <si>
    <t>Lint is not a reliable gate. Fix app-code issues and tune generated UI rules before using CI enforcement.</t>
  </si>
  <si>
    <t>npm run lint; src/**/*.ts(x)</t>
  </si>
  <si>
    <t>FE-006</t>
  </si>
  <si>
    <t>Navigation / Auth</t>
  </si>
  <si>
    <t>API response interceptor</t>
  </si>
  <si>
    <t>401 handler redirects to /login, but the app has /auth and no /login route.</t>
  </si>
  <si>
    <t>Expired sessions can land on not-found. Redirect to /auth and preserve safe return path.</t>
  </si>
  <si>
    <t>src/services/api.ts; src/App.tsx</t>
  </si>
  <si>
    <t>FE-007</t>
  </si>
  <si>
    <t>Error handling / Auth</t>
  </si>
  <si>
    <t>authApi</t>
  </si>
  <si>
    <t>Interceptor is attached to api, but auth and user requests use separate authApi.</t>
  </si>
  <si>
    <t>Session-expiry handling differs by client. Share client configuration or add equivalent handling.</t>
  </si>
  <si>
    <t>src/services/api.ts; src/services/authApi.ts</t>
  </si>
  <si>
    <t>FE-008</t>
  </si>
  <si>
    <t>Navigation / Authorization UX</t>
  </si>
  <si>
    <t>Customer/admin routes</t>
  </si>
  <si>
    <t>No frontend guard checks sign-in or role before rendering protected areas.</t>
  </si>
  <si>
    <t>Wrong-role/signed-out users reach screens and fail requests. Add route guards; server authorization remains required.</t>
  </si>
  <si>
    <t>src/App.tsx; src/store/slices/userSlice.ts</t>
  </si>
  <si>
    <t>FE-009</t>
  </si>
  <si>
    <t>Error handling</t>
  </si>
  <si>
    <t>SignIn and SignUp</t>
  </si>
  <si>
    <t>Request failures only log; signup error state is unused and forms have no pending feedback.</t>
  </si>
  <si>
    <t>Users cannot recover from failures and can resubmit. Show errors/success and disable submit while pending.</t>
  </si>
  <si>
    <t>src/components/SignIn.tsx; src/components/SignUp.tsx</t>
  </si>
  <si>
    <t>FE-010</t>
  </si>
  <si>
    <t>Form validation</t>
  </si>
  <si>
    <t>Required fields omit required validation; phone accepts unrestricted text.</t>
  </si>
  <si>
    <t>Malformed or blank values reach API. Add clear client validation while retaining server validation.</t>
  </si>
  <si>
    <t>FE-011</t>
  </si>
  <si>
    <t>Navigation / UI polish</t>
  </si>
  <si>
    <t>Auth forms</t>
  </si>
  <si>
    <t>Forgot-password links point to #; signup password uses current-password autocomplete.</t>
  </si>
  <si>
    <t>Recovery links do nothing; autofill hint is wrong. Implement/remove links and use new-password autocomplete.</t>
  </si>
  <si>
    <t>FE-012</t>
  </si>
  <si>
    <t>Accessibility / Markup</t>
  </si>
  <si>
    <t>Username label htmlFor mismatches its input id; sign-in nests a paragraph inside another paragraph.</t>
  </si>
  <si>
    <t>Label focus and markup semantics are unreliable. Match ids and use valid text containers.</t>
  </si>
  <si>
    <t>FE-013</t>
  </si>
  <si>
    <t>Navigation / API lifecycle</t>
  </si>
  <si>
    <t>NavBar</t>
  </si>
  <si>
    <t>Shared navbar fetches profile/cart on mount even when signed out or when role is admin.</t>
  </si>
  <si>
    <t>Unnecessary customer requests/errors on unrelated pages. Gate fetches by authenticated customer state.</t>
  </si>
  <si>
    <t>src/components/NavBar.tsx</t>
  </si>
  <si>
    <t>FE-014</t>
  </si>
  <si>
    <t>Error handling / State</t>
  </si>
  <si>
    <t>NavBar sign-out</t>
  </si>
  <si>
    <t>Local state clears only after logout API succeeds.</t>
  </si>
  <si>
    <t>Failed logout leaves stale signed-in UI. Clear client state safely and surface the failure.</t>
  </si>
  <si>
    <t>FE-015</t>
  </si>
  <si>
    <t>Navigation / Admin</t>
  </si>
  <si>
    <t>Admin SideMenu</t>
  </si>
  <si>
    <t>Sidebar Logout button has no click handler.</t>
  </si>
  <si>
    <t>Visible logout control does nothing. Wire to shared sign-out behavior.</t>
  </si>
  <si>
    <t>src/components/admin/SideMenu.tsx</t>
  </si>
  <si>
    <t>FE-016</t>
  </si>
  <si>
    <t>UI behavior</t>
  </si>
  <si>
    <t>Admin NavBar</t>
  </si>
  <si>
    <t>Status dropdown, bell, and profile icon have no meaningful state/actions.</t>
  </si>
  <si>
    <t>Controls imply unavailable workflows. Connect them or remove/disable until implemented.</t>
  </si>
  <si>
    <t>FE-017</t>
  </si>
  <si>
    <t>Navigation / Partner onboarding</t>
  </si>
  <si>
    <t>Partner page</t>
  </si>
  <si>
    <t>Copy asks for phone/restaurant ID, but Continue only navigates to admin sign-in.</t>
  </si>
  <si>
    <t>Prompt and action disagree. Implement lookup input or accurately describe sign-in.</t>
  </si>
  <si>
    <t>src/pages/Partner.tsx</t>
  </si>
  <si>
    <t>FE-018</t>
  </si>
  <si>
    <t>Home search</t>
  </si>
  <si>
    <t>Restaurant/dish search has no state, submit, filtering, or navigation.</t>
  </si>
  <si>
    <t>Typing has no effect. Implement search or remove the field.</t>
  </si>
  <si>
    <t>src/pages/Home.tsx</t>
  </si>
  <si>
    <t>FE-019</t>
  </si>
  <si>
    <t>Navigation / UI behavior</t>
  </si>
  <si>
    <t>Home food categories</t>
  </si>
  <si>
    <t>Food category cards do not filter or navigate.</t>
  </si>
  <si>
    <t>The strip looks interactive but does nothing. Add filtering/selection or make it static.</t>
  </si>
  <si>
    <t>src/components/customer/ItemsContainer.tsx</t>
  </si>
  <si>
    <t>FE-020</t>
  </si>
  <si>
    <t>Accessibility</t>
  </si>
  <si>
    <t>Home city list</t>
  </si>
  <si>
    <t>City choices are clickable divs and mapped elements omit keys.</t>
  </si>
  <si>
    <t>Not keyboard-operable and may emit React warnings. Use keyed buttons/links with focus states.</t>
  </si>
  <si>
    <t>FE-021</t>
  </si>
  <si>
    <t>State / Navigation</t>
  </si>
  <si>
    <t>Location slice</t>
  </si>
  <si>
    <t>removeCity sets city to empty; sign-out dispatches it.</t>
  </si>
  <si>
    <t>Restaurant queries/titles can use blank city. Restore default or model unset location explicitly.</t>
  </si>
  <si>
    <t>src/store/slices/locationslice.ts; src/components/NavBar.tsx</t>
  </si>
  <si>
    <t>FE-022</t>
  </si>
  <si>
    <t>Async data / State</t>
  </si>
  <si>
    <t>RestaurantContainer</t>
  </si>
  <si>
    <t>Old-city request can finish after city change and append results to reset list.</t>
  </si>
  <si>
    <t>Feed can mix cities. Cancel obsolete requests or discard stale responses and reset pagination atomically.</t>
  </si>
  <si>
    <t>src/components/restaurant/RestaurantContainer.tsx</t>
  </si>
  <si>
    <t>FE-023</t>
  </si>
  <si>
    <t>Restaurant lists</t>
  </si>
  <si>
    <t>Fetch failures only log; no visible error/retry state.</t>
  </si>
  <si>
    <t>Blank/partial feed gives no recovery. Add loading, empty, error, and retry states.</t>
  </si>
  <si>
    <t>src/components/restaurant/RestaurantContainer.tsx; RestaurantContainerSlide.tsx</t>
  </si>
  <si>
    <t>FE-024</t>
  </si>
  <si>
    <t>Error handling / Navigation</t>
  </si>
  <si>
    <t>RestaurantPage</t>
  </si>
  <si>
    <t>No loading/error/not-found state; previous data is not cleared when route ID changes.</t>
  </si>
  <si>
    <t>Can briefly show old restaurant; invalid ID looks blank. Track request state and clear/render explicit outcomes.</t>
  </si>
  <si>
    <t>src/pages/customer/Restaurantpage.tsx</t>
  </si>
  <si>
    <t>FE-025</t>
  </si>
  <si>
    <t>Data robustness / Types</t>
  </si>
  <si>
    <t>RestaurantCard</t>
  </si>
  <si>
    <t>Uses any and indexes cuisine/address fields without guards.</t>
  </si>
  <si>
    <t>Missing API fields can crash. Use Restaurant types and safe fallbacks.</t>
  </si>
  <si>
    <t>src/components/restaurant/RestaurantCard.tsx; src/types/restaurant.ts</t>
  </si>
  <si>
    <t>FE-026</t>
  </si>
  <si>
    <t>UI polish / Responsive</t>
  </si>
  <si>
    <t>Restaurant and menu layouts</t>
  </si>
  <si>
    <t>Fixed viewport/card widths have little responsive adaptation.</t>
  </si>
  <si>
    <t>Likely overflow/compression on phones. Use max-widths, breakpoints, flexible grids and content-driven height.</t>
  </si>
  <si>
    <t>src/pages/customer/Restaurantpage.tsx; src/components/customer/menu.tsx</t>
  </si>
  <si>
    <t>FE-027</t>
  </si>
  <si>
    <t>Maintainability</t>
  </si>
  <si>
    <t>Dine-in and delivery render functions duplicate most markup.</t>
  </si>
  <si>
    <t>Fixes can drift. Extract shared details and isolate service-specific content.</t>
  </si>
  <si>
    <t>FE-028</t>
  </si>
  <si>
    <t>Menu</t>
  </si>
  <si>
    <t>Top Rated and All Items accordions are open by default and show duplicate rows.</t>
  </si>
  <si>
    <t>Menu repeats the same items. Default one closed or exclude featured items from the all-items list.</t>
  </si>
  <si>
    <t>src/components/customer/menu.tsx</t>
  </si>
  <si>
    <t>FE-029</t>
  </si>
  <si>
    <t>Menu failure only logs; no loading/empty/retry view.</t>
  </si>
  <si>
    <t>Failure looks like an empty menu. Render distinct request states.</t>
  </si>
  <si>
    <t>FE-030</t>
  </si>
  <si>
    <t>Error handling / Async UI</t>
  </si>
  <si>
    <t>ItemCard and CartItemCard</t>
  </si>
  <si>
    <t>Add/remove controls lack pending state and user-facing failures.</t>
  </si>
  <si>
    <t>Rapid clicks overlap requests; failures are unclear. Prevent duplicate requests and reconcile from server.</t>
  </si>
  <si>
    <t>src/components/customer/ItemCard.tsx; CartItemCard.tsx</t>
  </si>
  <si>
    <t>FE-031</t>
  </si>
  <si>
    <t>State / Data consistency</t>
  </si>
  <si>
    <t>cartSlice</t>
  </si>
  <si>
    <t>Reducers update item rows without recomputing total; removing last row leaves restaurantId.</t>
  </si>
  <si>
    <t>Totals/metadata can diverge. Derive totals or update aggregates atomically; clear restaurantId when empty.</t>
  </si>
  <si>
    <t>src/store/slices/cartSlice.ts</t>
  </si>
  <si>
    <t>FE-032</t>
  </si>
  <si>
    <t>Checkout / Incomplete feature</t>
  </si>
  <si>
    <t>Cart and Checkout</t>
  </si>
  <si>
    <t>Cart proceeds directly to placeOrder; Checkout is placeholder with no working address/payment selection.</t>
  </si>
  <si>
    <t>Main purchase flow cannot collect delivery info or complete payment. Implement address, server quote/order, payment and result states.</t>
  </si>
  <si>
    <t>src/pages/customer/Cart.tsx; Checkout.tsx; src/services/userApi.ts</t>
  </si>
  <si>
    <t>FE-033</t>
  </si>
  <si>
    <t>Data / Checkout</t>
  </si>
  <si>
    <t>Cart suggestions</t>
  </si>
  <si>
    <t>Suggestions textarea is uncontrolled and not sent with order.</t>
  </si>
  <si>
    <t>Customer instructions are discarded. Store and submit if API supports it; otherwise remove field.</t>
  </si>
  <si>
    <t>src/pages/customer/Cart.tsx</t>
  </si>
  <si>
    <t>FE-034</t>
  </si>
  <si>
    <t>Pricing / Data integrity</t>
  </si>
  <si>
    <t>Cart bill summary</t>
  </si>
  <si>
    <t>Delivery threshold and tax are hardcoded UI arithmetic.</t>
  </si>
  <si>
    <t>Displayed amount can diverge from backend pricing/policy. Use server totals as authoritative and label estimates.</t>
  </si>
  <si>
    <t>FE-035</t>
  </si>
  <si>
    <t>UI polish</t>
  </si>
  <si>
    <t>Cart empty state</t>
  </si>
  <si>
    <t>Empty cart is plain text without a route back to browsing.</t>
  </si>
  <si>
    <t>No recovery path. Add designed empty state and restaurant link.</t>
  </si>
  <si>
    <t>FE-036</t>
  </si>
  <si>
    <t>Error handling / UI states</t>
  </si>
  <si>
    <t>Orders page</t>
  </si>
  <si>
    <t>No loading/empty/error view; fetch failure only logs.</t>
  </si>
  <si>
    <t>Blank page does not distinguish no orders from failure. Render all request states and retry.</t>
  </si>
  <si>
    <t>src/pages/customer/Orders.tsx</t>
  </si>
  <si>
    <t>FE-037</t>
  </si>
  <si>
    <t>Data / Order history</t>
  </si>
  <si>
    <t>OrderCards</t>
  </si>
  <si>
    <t>Delivered and cancelled orders render empty div.</t>
  </si>
  <si>
    <t>Customers cannot review terminal order history. Render all orders and vary actions by status.</t>
  </si>
  <si>
    <t>src/components/orders/OrderCards.tsx</t>
  </si>
  <si>
    <t>FE-038</t>
  </si>
  <si>
    <t>Data correctness / UI</t>
  </si>
  <si>
    <t>OrderDetailsDraw</t>
  </si>
  <si>
    <t>Delivery address and packaging fee are hardcoded; restaurant image is static external content.</t>
  </si>
  <si>
    <t>Could show false address/charges/image. Render order/restaurant data and server-provided totals.</t>
  </si>
  <si>
    <t>src/components/orders/OrderDetailsDraw.tsx</t>
  </si>
  <si>
    <t>FE-039</t>
  </si>
  <si>
    <t>Navigation / Payment</t>
  </si>
  <si>
    <t>OrderCards Pay now</t>
  </si>
  <si>
    <t>Navigates to payments without order ID; destination is unimplemented.</t>
  </si>
  <si>
    <t>Cannot resume a specific pending payment. Pass ID and implement payment retrieval/result flow.</t>
  </si>
  <si>
    <t>src/components/orders/OrderCards.tsx; Checkout.tsx</t>
  </si>
  <si>
    <t>FE-040</t>
  </si>
  <si>
    <t>OrderCards actions</t>
  </si>
  <si>
    <t>Reorder, Feedback, and Help are styled divs without handlers/semantics.</t>
  </si>
  <si>
    <t>Static labels look interactive. Implement accessible actions or render plain text.</t>
  </si>
  <si>
    <t>FE-041</t>
  </si>
  <si>
    <t>Performance / API design</t>
  </si>
  <si>
    <t>Each card fetches restaurant and payment details in separate sequential calls.</t>
  </si>
  <si>
    <t>Many requests for long history. Include details with order or batch calls.</t>
  </si>
  <si>
    <t>src/components/orders/OrderCards.tsx; src/services/userApi.ts</t>
  </si>
  <si>
    <t>FE-042</t>
  </si>
  <si>
    <t>Admin / Incomplete feature</t>
  </si>
  <si>
    <t>AdminDashboard and AdminResBanner</t>
  </si>
  <si>
    <t>Stats are hardcoded zero and dashboard tables receive empty arrays.</t>
  </si>
  <si>
    <t>Admins cannot see live operations. Connect restaurant-scoped APIs and request states.</t>
  </si>
  <si>
    <t>src/pages/admin/AdminDashboard.tsx; AdminResBanner.tsx</t>
  </si>
  <si>
    <t>FE-043</t>
  </si>
  <si>
    <t>Admin / UI behavior</t>
  </si>
  <si>
    <t>AdminDetailDisplay</t>
  </si>
  <si>
    <t>Filter buttons change local state but do not filter; DatePicker only changes local date.</t>
  </si>
  <si>
    <t>Controls promise filtering but results do not change. Apply values to query/table or remove controls.</t>
  </si>
  <si>
    <t>src/pages/admin/AdminDetailDisplay.tsx; src/components/genericUIcomponents/DatePicker.tsx</t>
  </si>
  <si>
    <t>FE-044</t>
  </si>
  <si>
    <t>Admin / Data rendering</t>
  </si>
  <si>
    <t>AdminTable</t>
  </si>
  <si>
    <t>tableData is ignored; literal placeholder cells are rendered and map callbacks omit keys.</t>
  </si>
  <si>
    <t>Admin tables cannot show real records. Type rows, render actual fields, add empty state and stable keys.</t>
  </si>
  <si>
    <t>src/components/admin/AdminTable.tsx</t>
  </si>
  <si>
    <t>FE-045</t>
  </si>
  <si>
    <t>Admin / Error handling</t>
  </si>
  <si>
    <t>AdminServiceUpdates</t>
  </si>
  <si>
    <t>Counts/lists are sample data; refresh has no handler; list entries lack keys.</t>
  </si>
  <si>
    <t>Activity is misleading and refresh inert. Fetch live data and wire refresh/error/loading.</t>
  </si>
  <si>
    <t>src/components/admin/AdminServiceUpdates.tsx; AdminlistCards.tsx</t>
  </si>
  <si>
    <t>FE-046</t>
  </si>
  <si>
    <t>Admin / Navigation</t>
  </si>
  <si>
    <t>AdminMenu Add Item</t>
  </si>
  <si>
    <t>Add Item navigates to /admin/menu/items, which only renders Admin Item.</t>
  </si>
  <si>
    <t>Primary CTA dead-ends. Implement form/save route or disable CTA.</t>
  </si>
  <si>
    <t>src/pages/admin/AdminMenu.tsx; src/pages/admin/AdminItems.tsx</t>
  </si>
  <si>
    <t>FE-047</t>
  </si>
  <si>
    <t>ItemsEditDraw</t>
  </si>
  <si>
    <t>Edit drawer has blank details and no usable form/save mutation.</t>
  </si>
  <si>
    <t>Owners cannot edit despite Edit control. Bind fields, validate, submit and refresh menu.</t>
  </si>
  <si>
    <t>src/components/admin/ItemsEditDraw.tsx; AdminItemCards.tsx</t>
  </si>
  <si>
    <t>FE-048</t>
  </si>
  <si>
    <t>AdminRestaurant, AdminSettings, Profile</t>
  </si>
  <si>
    <t>These routes render empty or placeholder content.</t>
  </si>
  <si>
    <t>Visible navigation reaches unfinished screens. Complete or remove entries until ready.</t>
  </si>
  <si>
    <t>src/pages/admin/AdminRestaurant.tsx; AdminSettings.tsx; src/pages/customer/profile.tsx; src/App.tsx</t>
  </si>
  <si>
    <t>FE-049</t>
  </si>
  <si>
    <t>Breadcrumbs and PublicLayout</t>
  </si>
  <si>
    <t>Breadcrumbs use browser anchors and Back assigns window.location.href.</t>
  </si>
  <si>
    <t>Full page reloads and raw IDs in breadcrumb. Use React Router and friendly labels.</t>
  </si>
  <si>
    <t>src/components/genericUIcomponents/BreadCrumbs.tsx; src/layouts/PublicLayout.tsx</t>
  </si>
  <si>
    <t>FE-050</t>
  </si>
  <si>
    <t>Home, Cart, AdminHome, carousels</t>
  </si>
  <si>
    <t>Some actions use clickable divs; carousel arrows lack accessible names.</t>
  </si>
  <si>
    <t>Keyboard/screen-reader operation is poor. Use buttons/links, aria-labels and visible focus styles.</t>
  </si>
  <si>
    <t>src/pages/Home.tsx; AdminHome.tsx; Cart.tsx; ItemsContainer.tsx; RestaurantContainerSlide.tsx</t>
  </si>
  <si>
    <t>FE-051</t>
  </si>
  <si>
    <t>Application layouts</t>
  </si>
  <si>
    <t>Fixed viewport widths/heights appear on home, auth, restaurant, cart, admin.</t>
  </si>
  <si>
    <t>Likely overflow on small devices. Review mobile/tablet and use responsive sizing.</t>
  </si>
  <si>
    <t>src/pages/Home.tsx; src/components/SignUp.tsx; src/pages/customer/Cart.tsx; src/layouts/AdminLayout.tsx</t>
  </si>
  <si>
    <t>FE-052</t>
  </si>
  <si>
    <t>UI polish / Content</t>
  </si>
  <si>
    <t>RestaurantCard and offers</t>
  </si>
  <si>
    <t>Placeholder copy includes x hrs/km and X-percent offers; images have no fallback.</t>
  </si>
  <si>
    <t>Looks unfinished and broken URLs leave blanks. Replace with real data/remove claims and add fallbacks/alt text.</t>
  </si>
  <si>
    <t>src/components/restaurant/RestaurantCard.tsx; src/components/offers/OffersContainer.tsx</t>
  </si>
  <si>
    <t>FE-053</t>
  </si>
  <si>
    <t>Type safety</t>
  </si>
  <si>
    <t>Cart, restaurant, order, admin</t>
  </si>
  <si>
    <t>Core data components use any despite available domain types.</t>
  </si>
  <si>
    <t>API/null mismatches evade compiler. Define typed response models and narrow optional values.</t>
  </si>
  <si>
    <t>src/components/customer/CartItemCard.tsx; RestaurantCard.tsx; OrderDetailsDraw.tsx; AdminTable.tsx; src/types/</t>
  </si>
  <si>
    <t>FE-054</t>
  </si>
  <si>
    <t>Documentation</t>
  </si>
  <si>
    <t>README</t>
  </si>
  <si>
    <t>README remains Vite starter text.</t>
  </si>
  <si>
    <t>Setup, env, routes and API assumptions are undocumented. Add project-specific onboarding.</t>
  </si>
  <si>
    <t>README.md</t>
  </si>
  <si>
    <t>FE-055</t>
  </si>
  <si>
    <t>Code quality</t>
  </si>
  <si>
    <t>Mapped lists</t>
  </si>
  <si>
    <t>Some maps use array indexes or omit keys in home/admin lists.</t>
  </si>
  <si>
    <t>React warns and can reconcile incorrectly. Use stable IDs/values as keys.</t>
  </si>
  <si>
    <t>src/pages/Home.tsx; src/components/admin/AdminServiceUpdates.tsx; AdminTable.tsx</t>
  </si>
  <si>
    <t>FE-056</t>
  </si>
  <si>
    <t>UI behavior / Offers</t>
  </si>
  <si>
    <t>OfferContainer tabs</t>
  </si>
  <si>
    <t>Pre-booking and Walk-in tabs change styling but content stays identical.</t>
  </si>
  <si>
    <t>Tab claims filtering that does not occur. Use distinct datasets or remove control.</t>
  </si>
  <si>
    <t>FE-057</t>
  </si>
  <si>
    <t>Navigation / State</t>
  </si>
  <si>
    <t>Session bootstrap</t>
  </si>
  <si>
    <t>Navbar stores username from profile but does not reconcile role from response.</t>
  </si>
  <si>
    <t>Persisted/default role may mismatch server session and show wrong navigation. Hydrate both from profile.</t>
  </si>
  <si>
    <t>src/components/NavBar.tsx; src/store/slices/userSlice.ts</t>
  </si>
  <si>
    <t>FE-058</t>
  </si>
  <si>
    <t>App.css</t>
  </si>
  <si>
    <t>Vite starter selectors remain alongside product styles and appear unused.</t>
  </si>
  <si>
    <t>Dead CSS obscures active styles. Remove after confirming no route relies on it.</t>
  </si>
  <si>
    <t>src/App.css</t>
  </si>
  <si>
    <t>FE-059</t>
  </si>
  <si>
    <t>Error handling / Loading</t>
  </si>
  <si>
    <t>AdminHome</t>
  </si>
  <si>
    <t>Restaurant fetch error and loading both leave restaurantData null and display add-restaurant message.</t>
  </si>
  <si>
    <t>Network failure can look like an account with no restaurants. Track loading/error/empty separately with retry.</t>
  </si>
  <si>
    <t>src/pages/admin/AdminHome.tsx</t>
  </si>
  <si>
    <t>FE-060</t>
  </si>
  <si>
    <t>Order cards</t>
  </si>
  <si>
    <t>Order timestamps render raw API strings.</t>
  </si>
  <si>
    <t>Dates may be hard to scan/locale inconsistent. Format consistently and handle missing values.</t>
  </si>
  <si>
    <t>src/components/orders/OrderCards.tsx; src/types/order.ts</t>
  </si>
  <si>
    <t>FE-061</t>
  </si>
  <si>
    <t>Runtime / Dependency</t>
  </si>
  <si>
    <t>Animation imports</t>
  </si>
  <si>
    <t>Components import framer-motion while package.json declares motion; verify direct dependency and build resolution.</t>
  </si>
  <si>
    <t>A clean install may fail resolving the imported package. Align imports and declared package, then verify clean install/build.</t>
  </si>
  <si>
    <t>src/components/customer/ItemsContainer.tsx; src/components/restaurant/RestaurantContainerSlide.tsx; package.json</t>
  </si>
  <si>
    <t>FE-062</t>
  </si>
  <si>
    <t>Accessibility / DOM</t>
  </si>
  <si>
    <t>AdminItemCard</t>
  </si>
  <si>
    <t>The Edit drawer trigger button is nested inside an outer button.</t>
  </si>
  <si>
    <t>Invalid nested interactive elements can cause inconsistent activation and accessibility behavior. Use one trigger button only.</t>
  </si>
  <si>
    <t>src/components/admin/AdminItemCards.tsx</t>
  </si>
  <si>
    <t>FE-063</t>
  </si>
  <si>
    <t>Data / Payment state</t>
  </si>
  <si>
    <t>OrderCards payment timer</t>
  </si>
  <si>
    <t>Timer reaches zero locally but does not refresh payment/order status from the server.</t>
  </si>
  <si>
    <t>UI may continue showing stale PENDING data. Refresh status at expiry or fetch current status on payment action.</t>
  </si>
  <si>
    <t>FE-064</t>
  </si>
  <si>
    <t>Brand copy says SWIFFY while app branding is Grub Express; application copy also contains spelling/demo text.</t>
  </si>
  <si>
    <t>Inconsistent brand/content lowers trust. Review user-facing copy and proofread.</t>
  </si>
  <si>
    <t>src/pages/Partner.tsx; src/components/restaurant/RestaurantCard.tsx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</si>
</sst>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17365D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10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13">
    <dxf>
      <font>
        <b/>
        <color rgb="FF38761D"/>
      </font>
      <fill>
        <patternFill patternType="solid">
          <bgColor rgb="FFE2F0D9"/>
        </patternFill>
      </fill>
    </dxf>
    <dxf>
      <font>
        <b/>
        <color rgb="FF355C7D"/>
      </font>
      <fill>
        <patternFill patternType="solid">
          <bgColor rgb="FFEAF2F8"/>
        </patternFill>
      </fill>
    </dxf>
    <dxf>
      <font>
        <b/>
        <color rgb="FF805B00"/>
      </font>
      <fill>
        <patternFill patternType="solid">
          <bgColor rgb="FFFFF4D6"/>
        </patternFill>
      </fill>
    </dxf>
    <dxf>
      <font>
        <b/>
        <color rgb="FFB3261E"/>
      </font>
      <fill>
        <patternFill patternType="solid">
          <bgColor rgb="FFFCE8E6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ontendReviewIssues" displayName="FrontendReviewIssues" ref="A4:I68" totalsRowShown="0">
  <autoFilter ref="A4:I68" xr:uid="{00000000-000C-0000-FFFF-FFFF00000000}">
    <filterColumn colId="1">
      <filters>
        <filter val="Critical"/>
      </filters>
    </filterColumn>
  </autoFilter>
  <tableColumns count="9">
    <tableColumn id="1" xr3:uid="{00000000-0010-0000-0000-000001000000}" name="ID" dataDxfId="12"/>
    <tableColumn id="2" xr3:uid="{00000000-0010-0000-0000-000002000000}" name="Priority" dataDxfId="11"/>
    <tableColumn id="3" xr3:uid="{00000000-0010-0000-0000-000003000000}" name="Classification" dataDxfId="10"/>
    <tableColumn id="4" xr3:uid="{00000000-0010-0000-0000-000004000000}" name="Finding type" dataDxfId="9"/>
    <tableColumn id="5" xr3:uid="{00000000-0010-0000-0000-000005000000}" name="Component / route" dataDxfId="8"/>
    <tableColumn id="6" xr3:uid="{00000000-0010-0000-0000-000006000000}" name="Finding" dataDxfId="7"/>
    <tableColumn id="7" xr3:uid="{00000000-0010-0000-0000-000007000000}" name="Impact / suggested action" dataDxfId="6"/>
    <tableColumn id="8" xr3:uid="{00000000-0010-0000-0000-000008000000}" name="Evidence / source" dataDxfId="5"/>
    <tableColumn id="9" xr3:uid="{00000000-0010-0000-0000-000009000000}" name="Statu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/>
  </sheetViews>
  <sheetFormatPr defaultRowHeight="13.8"/>
  <cols>
    <col min="1" max="1" width="27" customWidth="1"/>
    <col min="2" max="2" width="12" customWidth="1"/>
    <col min="3" max="3" width="3" customWidth="1"/>
    <col min="4" max="4" width="25" customWidth="1"/>
    <col min="5" max="5" width="54" customWidth="1"/>
    <col min="6" max="6" width="3" customWidth="1"/>
    <col min="7" max="7" width="19" customWidth="1"/>
    <col min="8" max="8" width="60" customWidth="1"/>
  </cols>
  <sheetData>
    <row r="1" spans="1:8" ht="30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 ht="19.95" customHeight="1">
      <c r="A2" s="6" t="s">
        <v>1</v>
      </c>
      <c r="B2" s="5"/>
      <c r="C2" s="5"/>
      <c r="D2" s="5"/>
      <c r="E2" s="5"/>
      <c r="F2" s="5"/>
      <c r="G2" s="5"/>
      <c r="H2" s="5"/>
    </row>
    <row r="3" spans="1:8" ht="22.05" customHeight="1">
      <c r="A3" s="5"/>
      <c r="B3" s="5"/>
      <c r="C3" s="5"/>
      <c r="D3" s="5"/>
      <c r="E3" s="5"/>
      <c r="F3" s="5"/>
      <c r="G3" s="5"/>
      <c r="H3" s="5"/>
    </row>
    <row r="4" spans="1:8" ht="22.05" customHeight="1">
      <c r="A4" s="7" t="s">
        <v>2</v>
      </c>
      <c r="B4" s="7" t="s">
        <v>3</v>
      </c>
      <c r="C4" s="5"/>
      <c r="D4" s="7" t="s">
        <v>4</v>
      </c>
      <c r="E4" s="7" t="s">
        <v>3</v>
      </c>
      <c r="F4" s="5"/>
      <c r="G4" s="5"/>
      <c r="H4" s="5"/>
    </row>
    <row r="5" spans="1:8" ht="22.05" customHeight="1">
      <c r="A5" s="5" t="s">
        <v>5</v>
      </c>
      <c r="B5" s="5">
        <f>COUNTA('Review Tracker'!A5:A68)</f>
        <v>64</v>
      </c>
      <c r="C5" s="5"/>
      <c r="D5" s="5" t="s">
        <v>6</v>
      </c>
      <c r="E5" s="5">
        <f>COUNTIF('Review Tracker'!B5:B68,D5)</f>
        <v>2</v>
      </c>
      <c r="F5" s="5"/>
      <c r="G5" s="5"/>
      <c r="H5" s="5"/>
    </row>
    <row r="6" spans="1:8" ht="22.05" customHeight="1">
      <c r="A6" s="5" t="s">
        <v>7</v>
      </c>
      <c r="B6" s="5">
        <f>COUNTIF('Review Tracker'!I5:I68,"Open")</f>
        <v>64</v>
      </c>
      <c r="C6" s="5"/>
      <c r="D6" s="5" t="s">
        <v>8</v>
      </c>
      <c r="E6" s="5">
        <f>COUNTIF('Review Tracker'!B5:B68,D6)</f>
        <v>16</v>
      </c>
      <c r="F6" s="5"/>
      <c r="G6" s="5"/>
      <c r="H6" s="5"/>
    </row>
    <row r="7" spans="1:8" ht="22.05" customHeight="1">
      <c r="A7" s="5" t="s">
        <v>9</v>
      </c>
      <c r="B7" s="5">
        <f>COUNTIF('Review Tracker'!B5:B68,"Critical")+COUNTIF('Review Tracker'!B5:B68,"High")</f>
        <v>18</v>
      </c>
      <c r="C7" s="5"/>
      <c r="D7" s="5" t="s">
        <v>10</v>
      </c>
      <c r="E7" s="5">
        <f>COUNTIF('Review Tracker'!B5:B68,D7)</f>
        <v>34</v>
      </c>
      <c r="F7" s="5"/>
      <c r="G7" s="5"/>
      <c r="H7" s="5"/>
    </row>
    <row r="8" spans="1:8" ht="22.05" customHeight="1">
      <c r="A8" s="5"/>
      <c r="B8" s="5"/>
      <c r="C8" s="5"/>
      <c r="D8" s="5" t="s">
        <v>11</v>
      </c>
      <c r="E8" s="5">
        <f>COUNTIF('Review Tracker'!B5:B68,D8)</f>
        <v>12</v>
      </c>
      <c r="F8" s="5"/>
      <c r="G8" s="5"/>
      <c r="H8" s="5"/>
    </row>
    <row r="9" spans="1:8" ht="22.05" customHeight="1">
      <c r="A9" s="5"/>
      <c r="B9" s="5"/>
      <c r="C9" s="5"/>
      <c r="D9" s="5"/>
      <c r="E9" s="5"/>
      <c r="F9" s="5"/>
      <c r="G9" s="5"/>
      <c r="H9" s="5"/>
    </row>
    <row r="10" spans="1:8" ht="22.05" customHeight="1">
      <c r="A10" s="7" t="s">
        <v>12</v>
      </c>
      <c r="B10" s="7" t="s">
        <v>3</v>
      </c>
      <c r="C10" s="5"/>
      <c r="D10" s="7" t="s">
        <v>13</v>
      </c>
      <c r="E10" s="7" t="s">
        <v>14</v>
      </c>
      <c r="F10" s="5"/>
      <c r="G10" s="7" t="s">
        <v>4</v>
      </c>
      <c r="H10" s="7" t="s">
        <v>14</v>
      </c>
    </row>
    <row r="11" spans="1:8" ht="15" customHeight="1">
      <c r="A11" s="5" t="s">
        <v>15</v>
      </c>
      <c r="B11" s="5">
        <f>COUNTIF('Review Tracker'!D5:D68,A11)</f>
        <v>29</v>
      </c>
      <c r="C11" s="5"/>
      <c r="D11" s="8" t="s">
        <v>15</v>
      </c>
      <c r="E11" s="8" t="s">
        <v>16</v>
      </c>
      <c r="F11" s="5"/>
      <c r="G11" s="8" t="s">
        <v>6</v>
      </c>
      <c r="H11" s="8" t="s">
        <v>17</v>
      </c>
    </row>
    <row r="12" spans="1:8" ht="15" customHeight="1">
      <c r="A12" s="5" t="s">
        <v>18</v>
      </c>
      <c r="B12" s="5">
        <f>COUNTIF('Review Tracker'!D5:D68,A12)</f>
        <v>8</v>
      </c>
      <c r="C12" s="5"/>
      <c r="D12" s="8" t="s">
        <v>18</v>
      </c>
      <c r="E12" s="8" t="s">
        <v>19</v>
      </c>
      <c r="F12" s="5"/>
      <c r="G12" s="8" t="s">
        <v>8</v>
      </c>
      <c r="H12" s="8" t="s">
        <v>20</v>
      </c>
    </row>
    <row r="13" spans="1:8" ht="15" customHeight="1">
      <c r="A13" s="5" t="s">
        <v>21</v>
      </c>
      <c r="B13" s="5">
        <f>COUNTIF('Review Tracker'!D5:D68,A13)</f>
        <v>26</v>
      </c>
      <c r="C13" s="5"/>
      <c r="D13" s="8" t="s">
        <v>21</v>
      </c>
      <c r="E13" s="8" t="s">
        <v>22</v>
      </c>
      <c r="F13" s="5"/>
      <c r="G13" s="8" t="s">
        <v>10</v>
      </c>
      <c r="H13" s="8" t="s">
        <v>23</v>
      </c>
    </row>
    <row r="14" spans="1:8" ht="15" customHeight="1">
      <c r="A14" s="5" t="s">
        <v>24</v>
      </c>
      <c r="B14" s="5">
        <f>COUNTIF('Review Tracker'!D5:D68,A14)</f>
        <v>1</v>
      </c>
      <c r="C14" s="5"/>
      <c r="D14" s="8" t="s">
        <v>24</v>
      </c>
      <c r="E14" s="8" t="s">
        <v>25</v>
      </c>
      <c r="F14" s="5"/>
      <c r="G14" s="8" t="s">
        <v>11</v>
      </c>
      <c r="H14" s="8" t="s">
        <v>26</v>
      </c>
    </row>
    <row r="15" spans="1:8" ht="22.05" customHeight="1">
      <c r="A15" s="5"/>
      <c r="B15" s="5"/>
      <c r="C15" s="5"/>
      <c r="D15" s="5"/>
      <c r="E15" s="5"/>
      <c r="F15" s="5"/>
      <c r="G15" s="5"/>
      <c r="H15" s="5"/>
    </row>
    <row r="16" spans="1:8" ht="22.05" customHeight="1">
      <c r="A16" s="5"/>
      <c r="B16" s="5"/>
      <c r="C16" s="5"/>
      <c r="D16" s="5"/>
      <c r="E16" s="5"/>
      <c r="F16" s="5"/>
      <c r="G16" s="5"/>
      <c r="H16" s="5"/>
    </row>
    <row r="17" spans="1:8" ht="22.05" customHeight="1">
      <c r="A17" s="5"/>
      <c r="B17" s="5"/>
      <c r="C17" s="5"/>
      <c r="D17" s="5"/>
      <c r="E17" s="5"/>
      <c r="F17" s="5"/>
      <c r="G17" s="5"/>
      <c r="H17" s="5"/>
    </row>
    <row r="18" spans="1:8" ht="22.05" customHeight="1">
      <c r="A18" s="5"/>
      <c r="B18" s="5"/>
      <c r="C18" s="5"/>
      <c r="D18" s="5"/>
      <c r="E18" s="5"/>
      <c r="F18" s="5"/>
      <c r="G18" s="5"/>
      <c r="H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showGridLines="0" tabSelected="1" topLeftCell="B1" workbookViewId="0">
      <pane ySplit="4" topLeftCell="A5" activePane="bottomLeft" state="frozen"/>
      <selection pane="bottomLeft" activeCell="H5" sqref="H5"/>
    </sheetView>
  </sheetViews>
  <sheetFormatPr defaultRowHeight="13.8"/>
  <cols>
    <col min="1" max="1" width="6.69921875" customWidth="1"/>
    <col min="2" max="2" width="7.8984375" customWidth="1"/>
    <col min="3" max="3" width="21.296875" customWidth="1"/>
    <col min="4" max="4" width="15.09765625" customWidth="1"/>
    <col min="5" max="5" width="27" customWidth="1"/>
    <col min="6" max="6" width="48" customWidth="1"/>
    <col min="7" max="7" width="57" customWidth="1"/>
    <col min="8" max="8" width="50" customWidth="1"/>
    <col min="9" max="9" width="16" customWidth="1"/>
  </cols>
  <sheetData>
    <row r="1" spans="1:9" ht="21">
      <c r="A1" s="1" t="s">
        <v>27</v>
      </c>
      <c r="B1" s="3"/>
      <c r="C1" s="3"/>
      <c r="D1" s="9"/>
      <c r="E1" s="9"/>
      <c r="F1" s="9"/>
      <c r="G1" s="9"/>
      <c r="H1" s="9"/>
      <c r="I1" s="9"/>
    </row>
    <row r="2" spans="1:9">
      <c r="A2" s="2" t="s">
        <v>28</v>
      </c>
      <c r="B2" s="3"/>
      <c r="C2" s="3"/>
      <c r="D2" s="9"/>
      <c r="E2" s="9"/>
      <c r="F2" s="9"/>
      <c r="G2" s="9"/>
      <c r="H2" s="9"/>
      <c r="I2" s="9"/>
    </row>
    <row r="3" spans="1:9">
      <c r="A3" s="3"/>
      <c r="B3" s="3"/>
      <c r="C3" s="3"/>
      <c r="D3" s="9"/>
      <c r="E3" s="9"/>
      <c r="F3" s="9"/>
      <c r="G3" s="9"/>
      <c r="H3" s="9"/>
      <c r="I3" s="9"/>
    </row>
    <row r="4" spans="1:9" ht="15" customHeight="1">
      <c r="A4" s="14" t="s">
        <v>29</v>
      </c>
      <c r="B4" s="14" t="s">
        <v>4</v>
      </c>
      <c r="C4" s="14" t="s">
        <v>30</v>
      </c>
      <c r="D4" s="10" t="s">
        <v>12</v>
      </c>
      <c r="E4" s="10" t="s">
        <v>31</v>
      </c>
      <c r="F4" s="10" t="s">
        <v>32</v>
      </c>
      <c r="G4" s="10" t="s">
        <v>33</v>
      </c>
      <c r="H4" s="10" t="s">
        <v>34</v>
      </c>
      <c r="I4" s="10" t="s">
        <v>35</v>
      </c>
    </row>
    <row r="5" spans="1:9" ht="36" customHeight="1">
      <c r="A5" s="11" t="s">
        <v>36</v>
      </c>
      <c r="B5" s="11" t="s">
        <v>6</v>
      </c>
      <c r="C5" s="11" t="s">
        <v>37</v>
      </c>
      <c r="D5" s="11" t="s">
        <v>15</v>
      </c>
      <c r="E5" s="11" t="s">
        <v>38</v>
      </c>
      <c r="F5" s="12" t="s">
        <v>39</v>
      </c>
      <c r="G5" s="12" t="s">
        <v>40</v>
      </c>
      <c r="H5" s="12" t="s">
        <v>41</v>
      </c>
      <c r="I5" s="11" t="s">
        <v>7</v>
      </c>
    </row>
    <row r="6" spans="1:9" ht="36" hidden="1" customHeight="1">
      <c r="A6" s="11" t="s">
        <v>42</v>
      </c>
      <c r="B6" s="11" t="s">
        <v>8</v>
      </c>
      <c r="C6" s="11" t="s">
        <v>43</v>
      </c>
      <c r="D6" s="11" t="s">
        <v>15</v>
      </c>
      <c r="E6" s="11" t="s">
        <v>44</v>
      </c>
      <c r="F6" s="12" t="s">
        <v>45</v>
      </c>
      <c r="G6" s="12" t="s">
        <v>46</v>
      </c>
      <c r="H6" s="12" t="s">
        <v>47</v>
      </c>
      <c r="I6" s="11" t="s">
        <v>7</v>
      </c>
    </row>
    <row r="7" spans="1:9" ht="24" hidden="1" customHeight="1">
      <c r="A7" s="11" t="s">
        <v>48</v>
      </c>
      <c r="B7" s="11" t="s">
        <v>8</v>
      </c>
      <c r="C7" s="11" t="s">
        <v>49</v>
      </c>
      <c r="D7" s="11" t="s">
        <v>15</v>
      </c>
      <c r="E7" s="11" t="s">
        <v>50</v>
      </c>
      <c r="F7" s="12" t="s">
        <v>51</v>
      </c>
      <c r="G7" s="12" t="s">
        <v>52</v>
      </c>
      <c r="H7" s="12" t="s">
        <v>53</v>
      </c>
      <c r="I7" s="11" t="s">
        <v>7</v>
      </c>
    </row>
    <row r="8" spans="1:9" ht="24" hidden="1" customHeight="1">
      <c r="A8" s="11" t="s">
        <v>54</v>
      </c>
      <c r="B8" s="11" t="s">
        <v>8</v>
      </c>
      <c r="C8" s="11" t="s">
        <v>55</v>
      </c>
      <c r="D8" s="11" t="s">
        <v>15</v>
      </c>
      <c r="E8" s="11" t="s">
        <v>56</v>
      </c>
      <c r="F8" s="12" t="s">
        <v>57</v>
      </c>
      <c r="G8" s="12" t="s">
        <v>58</v>
      </c>
      <c r="H8" s="12" t="s">
        <v>59</v>
      </c>
      <c r="I8" s="11" t="s">
        <v>7</v>
      </c>
    </row>
    <row r="9" spans="1:9" ht="24" hidden="1" customHeight="1">
      <c r="A9" s="11" t="s">
        <v>60</v>
      </c>
      <c r="B9" s="11" t="s">
        <v>10</v>
      </c>
      <c r="C9" s="11" t="s">
        <v>61</v>
      </c>
      <c r="D9" s="11" t="s">
        <v>21</v>
      </c>
      <c r="E9" s="11" t="s">
        <v>62</v>
      </c>
      <c r="F9" s="12" t="s">
        <v>63</v>
      </c>
      <c r="G9" s="12" t="s">
        <v>64</v>
      </c>
      <c r="H9" s="12" t="s">
        <v>65</v>
      </c>
      <c r="I9" s="11" t="s">
        <v>7</v>
      </c>
    </row>
    <row r="10" spans="1:9" ht="24" hidden="1" customHeight="1">
      <c r="A10" s="11" t="s">
        <v>66</v>
      </c>
      <c r="B10" s="11" t="s">
        <v>8</v>
      </c>
      <c r="C10" s="11" t="s">
        <v>67</v>
      </c>
      <c r="D10" s="11" t="s">
        <v>15</v>
      </c>
      <c r="E10" s="11" t="s">
        <v>68</v>
      </c>
      <c r="F10" s="12" t="s">
        <v>69</v>
      </c>
      <c r="G10" s="12" t="s">
        <v>70</v>
      </c>
      <c r="H10" s="12" t="s">
        <v>71</v>
      </c>
      <c r="I10" s="11" t="s">
        <v>7</v>
      </c>
    </row>
    <row r="11" spans="1:9" ht="24" hidden="1" customHeight="1">
      <c r="A11" s="11" t="s">
        <v>72</v>
      </c>
      <c r="B11" s="11" t="s">
        <v>10</v>
      </c>
      <c r="C11" s="11" t="s">
        <v>73</v>
      </c>
      <c r="D11" s="11" t="s">
        <v>15</v>
      </c>
      <c r="E11" s="11" t="s">
        <v>74</v>
      </c>
      <c r="F11" s="12" t="s">
        <v>75</v>
      </c>
      <c r="G11" s="12" t="s">
        <v>76</v>
      </c>
      <c r="H11" s="12" t="s">
        <v>77</v>
      </c>
      <c r="I11" s="11" t="s">
        <v>7</v>
      </c>
    </row>
    <row r="12" spans="1:9" ht="24" hidden="1" customHeight="1">
      <c r="A12" s="11" t="s">
        <v>78</v>
      </c>
      <c r="B12" s="11" t="s">
        <v>8</v>
      </c>
      <c r="C12" s="11" t="s">
        <v>79</v>
      </c>
      <c r="D12" s="11" t="s">
        <v>21</v>
      </c>
      <c r="E12" s="11" t="s">
        <v>80</v>
      </c>
      <c r="F12" s="12" t="s">
        <v>81</v>
      </c>
      <c r="G12" s="12" t="s">
        <v>82</v>
      </c>
      <c r="H12" s="12" t="s">
        <v>83</v>
      </c>
      <c r="I12" s="11" t="s">
        <v>7</v>
      </c>
    </row>
    <row r="13" spans="1:9" ht="24" hidden="1" customHeight="1">
      <c r="A13" s="11" t="s">
        <v>84</v>
      </c>
      <c r="B13" s="11" t="s">
        <v>10</v>
      </c>
      <c r="C13" s="11" t="s">
        <v>85</v>
      </c>
      <c r="D13" s="11" t="s">
        <v>15</v>
      </c>
      <c r="E13" s="11" t="s">
        <v>86</v>
      </c>
      <c r="F13" s="12" t="s">
        <v>87</v>
      </c>
      <c r="G13" s="12" t="s">
        <v>88</v>
      </c>
      <c r="H13" s="12" t="s">
        <v>89</v>
      </c>
      <c r="I13" s="11" t="s">
        <v>7</v>
      </c>
    </row>
    <row r="14" spans="1:9" ht="24" hidden="1" customHeight="1">
      <c r="A14" s="11" t="s">
        <v>90</v>
      </c>
      <c r="B14" s="11" t="s">
        <v>10</v>
      </c>
      <c r="C14" s="11" t="s">
        <v>91</v>
      </c>
      <c r="D14" s="11" t="s">
        <v>21</v>
      </c>
      <c r="E14" s="11" t="s">
        <v>86</v>
      </c>
      <c r="F14" s="12" t="s">
        <v>92</v>
      </c>
      <c r="G14" s="12" t="s">
        <v>93</v>
      </c>
      <c r="H14" s="12" t="s">
        <v>89</v>
      </c>
      <c r="I14" s="11" t="s">
        <v>7</v>
      </c>
    </row>
    <row r="15" spans="1:9" ht="24" hidden="1" customHeight="1">
      <c r="A15" s="11" t="s">
        <v>94</v>
      </c>
      <c r="B15" s="11" t="s">
        <v>11</v>
      </c>
      <c r="C15" s="11" t="s">
        <v>95</v>
      </c>
      <c r="D15" s="11" t="s">
        <v>15</v>
      </c>
      <c r="E15" s="11" t="s">
        <v>96</v>
      </c>
      <c r="F15" s="12" t="s">
        <v>97</v>
      </c>
      <c r="G15" s="12" t="s">
        <v>98</v>
      </c>
      <c r="H15" s="12" t="s">
        <v>89</v>
      </c>
      <c r="I15" s="11" t="s">
        <v>7</v>
      </c>
    </row>
    <row r="16" spans="1:9" ht="24" hidden="1" customHeight="1">
      <c r="A16" s="11" t="s">
        <v>99</v>
      </c>
      <c r="B16" s="11" t="s">
        <v>11</v>
      </c>
      <c r="C16" s="11" t="s">
        <v>100</v>
      </c>
      <c r="D16" s="11" t="s">
        <v>15</v>
      </c>
      <c r="E16" s="11" t="s">
        <v>96</v>
      </c>
      <c r="F16" s="12" t="s">
        <v>101</v>
      </c>
      <c r="G16" s="12" t="s">
        <v>102</v>
      </c>
      <c r="H16" s="12" t="s">
        <v>89</v>
      </c>
      <c r="I16" s="11" t="s">
        <v>7</v>
      </c>
    </row>
    <row r="17" spans="1:9" ht="24" hidden="1" customHeight="1">
      <c r="A17" s="11" t="s">
        <v>103</v>
      </c>
      <c r="B17" s="11" t="s">
        <v>10</v>
      </c>
      <c r="C17" s="11" t="s">
        <v>104</v>
      </c>
      <c r="D17" s="11" t="s">
        <v>15</v>
      </c>
      <c r="E17" s="11" t="s">
        <v>105</v>
      </c>
      <c r="F17" s="12" t="s">
        <v>106</v>
      </c>
      <c r="G17" s="12" t="s">
        <v>107</v>
      </c>
      <c r="H17" s="12" t="s">
        <v>108</v>
      </c>
      <c r="I17" s="11" t="s">
        <v>7</v>
      </c>
    </row>
    <row r="18" spans="1:9" ht="24" hidden="1" customHeight="1">
      <c r="A18" s="11" t="s">
        <v>109</v>
      </c>
      <c r="B18" s="11" t="s">
        <v>10</v>
      </c>
      <c r="C18" s="11" t="s">
        <v>110</v>
      </c>
      <c r="D18" s="11" t="s">
        <v>15</v>
      </c>
      <c r="E18" s="11" t="s">
        <v>111</v>
      </c>
      <c r="F18" s="12" t="s">
        <v>112</v>
      </c>
      <c r="G18" s="12" t="s">
        <v>113</v>
      </c>
      <c r="H18" s="12" t="s">
        <v>108</v>
      </c>
      <c r="I18" s="11" t="s">
        <v>7</v>
      </c>
    </row>
    <row r="19" spans="1:9" ht="15" hidden="1" customHeight="1">
      <c r="A19" s="11" t="s">
        <v>114</v>
      </c>
      <c r="B19" s="11" t="s">
        <v>8</v>
      </c>
      <c r="C19" s="11" t="s">
        <v>115</v>
      </c>
      <c r="D19" s="11" t="s">
        <v>15</v>
      </c>
      <c r="E19" s="11" t="s">
        <v>116</v>
      </c>
      <c r="F19" s="12" t="s">
        <v>117</v>
      </c>
      <c r="G19" s="12" t="s">
        <v>118</v>
      </c>
      <c r="H19" s="12" t="s">
        <v>119</v>
      </c>
      <c r="I19" s="11" t="s">
        <v>7</v>
      </c>
    </row>
    <row r="20" spans="1:9" ht="24" hidden="1" customHeight="1">
      <c r="A20" s="11" t="s">
        <v>120</v>
      </c>
      <c r="B20" s="11" t="s">
        <v>10</v>
      </c>
      <c r="C20" s="11" t="s">
        <v>121</v>
      </c>
      <c r="D20" s="11" t="s">
        <v>18</v>
      </c>
      <c r="E20" s="11" t="s">
        <v>122</v>
      </c>
      <c r="F20" s="12" t="s">
        <v>123</v>
      </c>
      <c r="G20" s="12" t="s">
        <v>124</v>
      </c>
      <c r="H20" s="12" t="s">
        <v>108</v>
      </c>
      <c r="I20" s="11" t="s">
        <v>7</v>
      </c>
    </row>
    <row r="21" spans="1:9" ht="24" hidden="1" customHeight="1">
      <c r="A21" s="11" t="s">
        <v>125</v>
      </c>
      <c r="B21" s="11" t="s">
        <v>10</v>
      </c>
      <c r="C21" s="11" t="s">
        <v>126</v>
      </c>
      <c r="D21" s="11" t="s">
        <v>18</v>
      </c>
      <c r="E21" s="11" t="s">
        <v>127</v>
      </c>
      <c r="F21" s="12" t="s">
        <v>128</v>
      </c>
      <c r="G21" s="12" t="s">
        <v>129</v>
      </c>
      <c r="H21" s="12" t="s">
        <v>130</v>
      </c>
      <c r="I21" s="11" t="s">
        <v>7</v>
      </c>
    </row>
    <row r="22" spans="1:9" ht="24" hidden="1" customHeight="1">
      <c r="A22" s="11" t="s">
        <v>131</v>
      </c>
      <c r="B22" s="11" t="s">
        <v>10</v>
      </c>
      <c r="C22" s="11" t="s">
        <v>121</v>
      </c>
      <c r="D22" s="11" t="s">
        <v>15</v>
      </c>
      <c r="E22" s="11" t="s">
        <v>132</v>
      </c>
      <c r="F22" s="12" t="s">
        <v>133</v>
      </c>
      <c r="G22" s="12" t="s">
        <v>134</v>
      </c>
      <c r="H22" s="12" t="s">
        <v>135</v>
      </c>
      <c r="I22" s="11" t="s">
        <v>7</v>
      </c>
    </row>
    <row r="23" spans="1:9" ht="24" hidden="1" customHeight="1">
      <c r="A23" s="11" t="s">
        <v>136</v>
      </c>
      <c r="B23" s="11" t="s">
        <v>10</v>
      </c>
      <c r="C23" s="11" t="s">
        <v>137</v>
      </c>
      <c r="D23" s="11" t="s">
        <v>18</v>
      </c>
      <c r="E23" s="11" t="s">
        <v>138</v>
      </c>
      <c r="F23" s="12" t="s">
        <v>139</v>
      </c>
      <c r="G23" s="12" t="s">
        <v>140</v>
      </c>
      <c r="H23" s="12" t="s">
        <v>141</v>
      </c>
      <c r="I23" s="11" t="s">
        <v>7</v>
      </c>
    </row>
    <row r="24" spans="1:9" ht="24" hidden="1" customHeight="1">
      <c r="A24" s="11" t="s">
        <v>142</v>
      </c>
      <c r="B24" s="11" t="s">
        <v>11</v>
      </c>
      <c r="C24" s="11" t="s">
        <v>143</v>
      </c>
      <c r="D24" s="11" t="s">
        <v>15</v>
      </c>
      <c r="E24" s="11" t="s">
        <v>144</v>
      </c>
      <c r="F24" s="12" t="s">
        <v>145</v>
      </c>
      <c r="G24" s="12" t="s">
        <v>146</v>
      </c>
      <c r="H24" s="12" t="s">
        <v>135</v>
      </c>
      <c r="I24" s="11" t="s">
        <v>7</v>
      </c>
    </row>
    <row r="25" spans="1:9" ht="24" hidden="1" customHeight="1">
      <c r="A25" s="11" t="s">
        <v>147</v>
      </c>
      <c r="B25" s="11" t="s">
        <v>10</v>
      </c>
      <c r="C25" s="11" t="s">
        <v>148</v>
      </c>
      <c r="D25" s="11" t="s">
        <v>15</v>
      </c>
      <c r="E25" s="11" t="s">
        <v>149</v>
      </c>
      <c r="F25" s="12" t="s">
        <v>150</v>
      </c>
      <c r="G25" s="12" t="s">
        <v>151</v>
      </c>
      <c r="H25" s="12" t="s">
        <v>152</v>
      </c>
      <c r="I25" s="11" t="s">
        <v>7</v>
      </c>
    </row>
    <row r="26" spans="1:9" ht="24" hidden="1" customHeight="1">
      <c r="A26" s="11" t="s">
        <v>153</v>
      </c>
      <c r="B26" s="11" t="s">
        <v>8</v>
      </c>
      <c r="C26" s="11" t="s">
        <v>154</v>
      </c>
      <c r="D26" s="11" t="s">
        <v>15</v>
      </c>
      <c r="E26" s="11" t="s">
        <v>155</v>
      </c>
      <c r="F26" s="12" t="s">
        <v>156</v>
      </c>
      <c r="G26" s="12" t="s">
        <v>157</v>
      </c>
      <c r="H26" s="12" t="s">
        <v>158</v>
      </c>
      <c r="I26" s="11" t="s">
        <v>7</v>
      </c>
    </row>
    <row r="27" spans="1:9" ht="24" hidden="1" customHeight="1">
      <c r="A27" s="11" t="s">
        <v>159</v>
      </c>
      <c r="B27" s="11" t="s">
        <v>10</v>
      </c>
      <c r="C27" s="11" t="s">
        <v>85</v>
      </c>
      <c r="D27" s="11" t="s">
        <v>21</v>
      </c>
      <c r="E27" s="11" t="s">
        <v>160</v>
      </c>
      <c r="F27" s="12" t="s">
        <v>161</v>
      </c>
      <c r="G27" s="12" t="s">
        <v>162</v>
      </c>
      <c r="H27" s="12" t="s">
        <v>163</v>
      </c>
      <c r="I27" s="11" t="s">
        <v>7</v>
      </c>
    </row>
    <row r="28" spans="1:9" ht="24" hidden="1" customHeight="1">
      <c r="A28" s="11" t="s">
        <v>164</v>
      </c>
      <c r="B28" s="11" t="s">
        <v>10</v>
      </c>
      <c r="C28" s="11" t="s">
        <v>165</v>
      </c>
      <c r="D28" s="11" t="s">
        <v>15</v>
      </c>
      <c r="E28" s="11" t="s">
        <v>166</v>
      </c>
      <c r="F28" s="12" t="s">
        <v>167</v>
      </c>
      <c r="G28" s="12" t="s">
        <v>168</v>
      </c>
      <c r="H28" s="12" t="s">
        <v>169</v>
      </c>
      <c r="I28" s="11" t="s">
        <v>7</v>
      </c>
    </row>
    <row r="29" spans="1:9" ht="24" hidden="1" customHeight="1">
      <c r="A29" s="11" t="s">
        <v>170</v>
      </c>
      <c r="B29" s="11" t="s">
        <v>10</v>
      </c>
      <c r="C29" s="11" t="s">
        <v>171</v>
      </c>
      <c r="D29" s="11" t="s">
        <v>21</v>
      </c>
      <c r="E29" s="11" t="s">
        <v>172</v>
      </c>
      <c r="F29" s="12" t="s">
        <v>173</v>
      </c>
      <c r="G29" s="12" t="s">
        <v>174</v>
      </c>
      <c r="H29" s="12" t="s">
        <v>175</v>
      </c>
      <c r="I29" s="11" t="s">
        <v>7</v>
      </c>
    </row>
    <row r="30" spans="1:9" ht="24" hidden="1" customHeight="1">
      <c r="A30" s="11" t="s">
        <v>176</v>
      </c>
      <c r="B30" s="11" t="s">
        <v>10</v>
      </c>
      <c r="C30" s="11" t="s">
        <v>177</v>
      </c>
      <c r="D30" s="11" t="s">
        <v>21</v>
      </c>
      <c r="E30" s="11" t="s">
        <v>178</v>
      </c>
      <c r="F30" s="12" t="s">
        <v>179</v>
      </c>
      <c r="G30" s="12" t="s">
        <v>180</v>
      </c>
      <c r="H30" s="12" t="s">
        <v>181</v>
      </c>
      <c r="I30" s="11" t="s">
        <v>7</v>
      </c>
    </row>
    <row r="31" spans="1:9" ht="15" hidden="1" customHeight="1">
      <c r="A31" s="11" t="s">
        <v>182</v>
      </c>
      <c r="B31" s="11" t="s">
        <v>11</v>
      </c>
      <c r="C31" s="11" t="s">
        <v>183</v>
      </c>
      <c r="D31" s="11" t="s">
        <v>21</v>
      </c>
      <c r="E31" s="11" t="s">
        <v>166</v>
      </c>
      <c r="F31" s="12" t="s">
        <v>184</v>
      </c>
      <c r="G31" s="12" t="s">
        <v>185</v>
      </c>
      <c r="H31" s="12" t="s">
        <v>169</v>
      </c>
      <c r="I31" s="11" t="s">
        <v>7</v>
      </c>
    </row>
    <row r="32" spans="1:9" ht="24" hidden="1" customHeight="1">
      <c r="A32" s="11" t="s">
        <v>186</v>
      </c>
      <c r="B32" s="11" t="s">
        <v>10</v>
      </c>
      <c r="C32" s="11" t="s">
        <v>121</v>
      </c>
      <c r="D32" s="11" t="s">
        <v>15</v>
      </c>
      <c r="E32" s="11" t="s">
        <v>187</v>
      </c>
      <c r="F32" s="12" t="s">
        <v>188</v>
      </c>
      <c r="G32" s="12" t="s">
        <v>189</v>
      </c>
      <c r="H32" s="12" t="s">
        <v>190</v>
      </c>
      <c r="I32" s="11" t="s">
        <v>7</v>
      </c>
    </row>
    <row r="33" spans="1:9" ht="15" hidden="1" customHeight="1">
      <c r="A33" s="11" t="s">
        <v>191</v>
      </c>
      <c r="B33" s="11" t="s">
        <v>10</v>
      </c>
      <c r="C33" s="11" t="s">
        <v>85</v>
      </c>
      <c r="D33" s="11" t="s">
        <v>21</v>
      </c>
      <c r="E33" s="11" t="s">
        <v>187</v>
      </c>
      <c r="F33" s="12" t="s">
        <v>192</v>
      </c>
      <c r="G33" s="12" t="s">
        <v>193</v>
      </c>
      <c r="H33" s="12" t="s">
        <v>190</v>
      </c>
      <c r="I33" s="11" t="s">
        <v>7</v>
      </c>
    </row>
    <row r="34" spans="1:9" ht="24" hidden="1" customHeight="1">
      <c r="A34" s="11" t="s">
        <v>194</v>
      </c>
      <c r="B34" s="11" t="s">
        <v>10</v>
      </c>
      <c r="C34" s="11" t="s">
        <v>195</v>
      </c>
      <c r="D34" s="11" t="s">
        <v>21</v>
      </c>
      <c r="E34" s="11" t="s">
        <v>196</v>
      </c>
      <c r="F34" s="12" t="s">
        <v>197</v>
      </c>
      <c r="G34" s="12" t="s">
        <v>198</v>
      </c>
      <c r="H34" s="12" t="s">
        <v>199</v>
      </c>
      <c r="I34" s="11" t="s">
        <v>7</v>
      </c>
    </row>
    <row r="35" spans="1:9" ht="24" hidden="1" customHeight="1">
      <c r="A35" s="11" t="s">
        <v>200</v>
      </c>
      <c r="B35" s="11" t="s">
        <v>8</v>
      </c>
      <c r="C35" s="11" t="s">
        <v>201</v>
      </c>
      <c r="D35" s="11" t="s">
        <v>15</v>
      </c>
      <c r="E35" s="11" t="s">
        <v>202</v>
      </c>
      <c r="F35" s="12" t="s">
        <v>203</v>
      </c>
      <c r="G35" s="12" t="s">
        <v>204</v>
      </c>
      <c r="H35" s="12" t="s">
        <v>205</v>
      </c>
      <c r="I35" s="11" t="s">
        <v>7</v>
      </c>
    </row>
    <row r="36" spans="1:9" ht="24" customHeight="1">
      <c r="A36" s="11" t="s">
        <v>206</v>
      </c>
      <c r="B36" s="11" t="s">
        <v>6</v>
      </c>
      <c r="C36" s="11" t="s">
        <v>207</v>
      </c>
      <c r="D36" s="11" t="s">
        <v>15</v>
      </c>
      <c r="E36" s="11" t="s">
        <v>208</v>
      </c>
      <c r="F36" s="12" t="s">
        <v>209</v>
      </c>
      <c r="G36" s="12" t="s">
        <v>210</v>
      </c>
      <c r="H36" s="12" t="s">
        <v>211</v>
      </c>
      <c r="I36" s="11" t="s">
        <v>7</v>
      </c>
    </row>
    <row r="37" spans="1:9" ht="24" hidden="1" customHeight="1">
      <c r="A37" s="11" t="s">
        <v>212</v>
      </c>
      <c r="B37" s="11" t="s">
        <v>10</v>
      </c>
      <c r="C37" s="11" t="s">
        <v>213</v>
      </c>
      <c r="D37" s="11" t="s">
        <v>15</v>
      </c>
      <c r="E37" s="11" t="s">
        <v>214</v>
      </c>
      <c r="F37" s="12" t="s">
        <v>215</v>
      </c>
      <c r="G37" s="12" t="s">
        <v>216</v>
      </c>
      <c r="H37" s="12" t="s">
        <v>217</v>
      </c>
      <c r="I37" s="11" t="s">
        <v>7</v>
      </c>
    </row>
    <row r="38" spans="1:9" ht="24" hidden="1" customHeight="1">
      <c r="A38" s="11" t="s">
        <v>218</v>
      </c>
      <c r="B38" s="11" t="s">
        <v>8</v>
      </c>
      <c r="C38" s="11" t="s">
        <v>219</v>
      </c>
      <c r="D38" s="11" t="s">
        <v>21</v>
      </c>
      <c r="E38" s="11" t="s">
        <v>220</v>
      </c>
      <c r="F38" s="12" t="s">
        <v>221</v>
      </c>
      <c r="G38" s="12" t="s">
        <v>222</v>
      </c>
      <c r="H38" s="12" t="s">
        <v>217</v>
      </c>
      <c r="I38" s="11" t="s">
        <v>7</v>
      </c>
    </row>
    <row r="39" spans="1:9" ht="15" hidden="1" customHeight="1">
      <c r="A39" s="11" t="s">
        <v>223</v>
      </c>
      <c r="B39" s="11" t="s">
        <v>11</v>
      </c>
      <c r="C39" s="11" t="s">
        <v>224</v>
      </c>
      <c r="D39" s="11" t="s">
        <v>21</v>
      </c>
      <c r="E39" s="11" t="s">
        <v>225</v>
      </c>
      <c r="F39" s="12" t="s">
        <v>226</v>
      </c>
      <c r="G39" s="12" t="s">
        <v>227</v>
      </c>
      <c r="H39" s="12" t="s">
        <v>217</v>
      </c>
      <c r="I39" s="11" t="s">
        <v>7</v>
      </c>
    </row>
    <row r="40" spans="1:9" ht="24" hidden="1" customHeight="1">
      <c r="A40" s="11" t="s">
        <v>228</v>
      </c>
      <c r="B40" s="11" t="s">
        <v>10</v>
      </c>
      <c r="C40" s="11" t="s">
        <v>229</v>
      </c>
      <c r="D40" s="11" t="s">
        <v>21</v>
      </c>
      <c r="E40" s="11" t="s">
        <v>230</v>
      </c>
      <c r="F40" s="12" t="s">
        <v>231</v>
      </c>
      <c r="G40" s="12" t="s">
        <v>232</v>
      </c>
      <c r="H40" s="12" t="s">
        <v>233</v>
      </c>
      <c r="I40" s="11" t="s">
        <v>7</v>
      </c>
    </row>
    <row r="41" spans="1:9" ht="24" hidden="1" customHeight="1">
      <c r="A41" s="11" t="s">
        <v>234</v>
      </c>
      <c r="B41" s="11" t="s">
        <v>8</v>
      </c>
      <c r="C41" s="11" t="s">
        <v>235</v>
      </c>
      <c r="D41" s="11" t="s">
        <v>15</v>
      </c>
      <c r="E41" s="11" t="s">
        <v>236</v>
      </c>
      <c r="F41" s="12" t="s">
        <v>237</v>
      </c>
      <c r="G41" s="12" t="s">
        <v>238</v>
      </c>
      <c r="H41" s="12" t="s">
        <v>239</v>
      </c>
      <c r="I41" s="11" t="s">
        <v>7</v>
      </c>
    </row>
    <row r="42" spans="1:9" ht="24" hidden="1" customHeight="1">
      <c r="A42" s="11" t="s">
        <v>240</v>
      </c>
      <c r="B42" s="11" t="s">
        <v>8</v>
      </c>
      <c r="C42" s="11" t="s">
        <v>241</v>
      </c>
      <c r="D42" s="11" t="s">
        <v>15</v>
      </c>
      <c r="E42" s="11" t="s">
        <v>242</v>
      </c>
      <c r="F42" s="12" t="s">
        <v>243</v>
      </c>
      <c r="G42" s="12" t="s">
        <v>244</v>
      </c>
      <c r="H42" s="12" t="s">
        <v>245</v>
      </c>
      <c r="I42" s="11" t="s">
        <v>7</v>
      </c>
    </row>
    <row r="43" spans="1:9" ht="24" hidden="1" customHeight="1">
      <c r="A43" s="11" t="s">
        <v>246</v>
      </c>
      <c r="B43" s="11" t="s">
        <v>8</v>
      </c>
      <c r="C43" s="11" t="s">
        <v>247</v>
      </c>
      <c r="D43" s="11" t="s">
        <v>15</v>
      </c>
      <c r="E43" s="11" t="s">
        <v>248</v>
      </c>
      <c r="F43" s="12" t="s">
        <v>249</v>
      </c>
      <c r="G43" s="12" t="s">
        <v>250</v>
      </c>
      <c r="H43" s="12" t="s">
        <v>251</v>
      </c>
      <c r="I43" s="11" t="s">
        <v>7</v>
      </c>
    </row>
    <row r="44" spans="1:9" ht="24" hidden="1" customHeight="1">
      <c r="A44" s="11" t="s">
        <v>252</v>
      </c>
      <c r="B44" s="11" t="s">
        <v>10</v>
      </c>
      <c r="C44" s="11" t="s">
        <v>121</v>
      </c>
      <c r="D44" s="11" t="s">
        <v>18</v>
      </c>
      <c r="E44" s="11" t="s">
        <v>253</v>
      </c>
      <c r="F44" s="12" t="s">
        <v>254</v>
      </c>
      <c r="G44" s="12" t="s">
        <v>255</v>
      </c>
      <c r="H44" s="12" t="s">
        <v>239</v>
      </c>
      <c r="I44" s="11" t="s">
        <v>7</v>
      </c>
    </row>
    <row r="45" spans="1:9" ht="24" hidden="1" customHeight="1">
      <c r="A45" s="11" t="s">
        <v>256</v>
      </c>
      <c r="B45" s="11" t="s">
        <v>10</v>
      </c>
      <c r="C45" s="11" t="s">
        <v>257</v>
      </c>
      <c r="D45" s="11" t="s">
        <v>21</v>
      </c>
      <c r="E45" s="11" t="s">
        <v>236</v>
      </c>
      <c r="F45" s="12" t="s">
        <v>258</v>
      </c>
      <c r="G45" s="12" t="s">
        <v>259</v>
      </c>
      <c r="H45" s="12" t="s">
        <v>260</v>
      </c>
      <c r="I45" s="11" t="s">
        <v>7</v>
      </c>
    </row>
    <row r="46" spans="1:9" ht="24" hidden="1" customHeight="1">
      <c r="A46" s="11" t="s">
        <v>261</v>
      </c>
      <c r="B46" s="11" t="s">
        <v>8</v>
      </c>
      <c r="C46" s="11" t="s">
        <v>262</v>
      </c>
      <c r="D46" s="11" t="s">
        <v>18</v>
      </c>
      <c r="E46" s="11" t="s">
        <v>263</v>
      </c>
      <c r="F46" s="12" t="s">
        <v>264</v>
      </c>
      <c r="G46" s="12" t="s">
        <v>265</v>
      </c>
      <c r="H46" s="12" t="s">
        <v>266</v>
      </c>
      <c r="I46" s="11" t="s">
        <v>7</v>
      </c>
    </row>
    <row r="47" spans="1:9" ht="24" hidden="1" customHeight="1">
      <c r="A47" s="11" t="s">
        <v>267</v>
      </c>
      <c r="B47" s="11" t="s">
        <v>10</v>
      </c>
      <c r="C47" s="11" t="s">
        <v>268</v>
      </c>
      <c r="D47" s="11" t="s">
        <v>15</v>
      </c>
      <c r="E47" s="11" t="s">
        <v>269</v>
      </c>
      <c r="F47" s="12" t="s">
        <v>270</v>
      </c>
      <c r="G47" s="12" t="s">
        <v>271</v>
      </c>
      <c r="H47" s="12" t="s">
        <v>272</v>
      </c>
      <c r="I47" s="11" t="s">
        <v>7</v>
      </c>
    </row>
    <row r="48" spans="1:9" ht="24" hidden="1" customHeight="1">
      <c r="A48" s="11" t="s">
        <v>273</v>
      </c>
      <c r="B48" s="11" t="s">
        <v>8</v>
      </c>
      <c r="C48" s="11" t="s">
        <v>274</v>
      </c>
      <c r="D48" s="11" t="s">
        <v>15</v>
      </c>
      <c r="E48" s="11" t="s">
        <v>275</v>
      </c>
      <c r="F48" s="12" t="s">
        <v>276</v>
      </c>
      <c r="G48" s="12" t="s">
        <v>277</v>
      </c>
      <c r="H48" s="12" t="s">
        <v>278</v>
      </c>
      <c r="I48" s="11" t="s">
        <v>7</v>
      </c>
    </row>
    <row r="49" spans="1:9" ht="24" hidden="1" customHeight="1">
      <c r="A49" s="11" t="s">
        <v>279</v>
      </c>
      <c r="B49" s="11" t="s">
        <v>10</v>
      </c>
      <c r="C49" s="11" t="s">
        <v>280</v>
      </c>
      <c r="D49" s="11" t="s">
        <v>18</v>
      </c>
      <c r="E49" s="11" t="s">
        <v>281</v>
      </c>
      <c r="F49" s="12" t="s">
        <v>282</v>
      </c>
      <c r="G49" s="12" t="s">
        <v>283</v>
      </c>
      <c r="H49" s="12" t="s">
        <v>284</v>
      </c>
      <c r="I49" s="11" t="s">
        <v>7</v>
      </c>
    </row>
    <row r="50" spans="1:9" ht="24" hidden="1" customHeight="1">
      <c r="A50" s="11" t="s">
        <v>285</v>
      </c>
      <c r="B50" s="11" t="s">
        <v>8</v>
      </c>
      <c r="C50" s="11" t="s">
        <v>286</v>
      </c>
      <c r="D50" s="11" t="s">
        <v>15</v>
      </c>
      <c r="E50" s="11" t="s">
        <v>287</v>
      </c>
      <c r="F50" s="12" t="s">
        <v>288</v>
      </c>
      <c r="G50" s="12" t="s">
        <v>289</v>
      </c>
      <c r="H50" s="12" t="s">
        <v>290</v>
      </c>
      <c r="I50" s="11" t="s">
        <v>7</v>
      </c>
    </row>
    <row r="51" spans="1:9" ht="24" hidden="1" customHeight="1">
      <c r="A51" s="11" t="s">
        <v>291</v>
      </c>
      <c r="B51" s="11" t="s">
        <v>8</v>
      </c>
      <c r="C51" s="11" t="s">
        <v>262</v>
      </c>
      <c r="D51" s="11" t="s">
        <v>18</v>
      </c>
      <c r="E51" s="11" t="s">
        <v>292</v>
      </c>
      <c r="F51" s="12" t="s">
        <v>293</v>
      </c>
      <c r="G51" s="12" t="s">
        <v>294</v>
      </c>
      <c r="H51" s="12" t="s">
        <v>295</v>
      </c>
      <c r="I51" s="11" t="s">
        <v>7</v>
      </c>
    </row>
    <row r="52" spans="1:9" ht="24" hidden="1" customHeight="1">
      <c r="A52" s="11" t="s">
        <v>296</v>
      </c>
      <c r="B52" s="11" t="s">
        <v>10</v>
      </c>
      <c r="C52" s="11" t="s">
        <v>286</v>
      </c>
      <c r="D52" s="11" t="s">
        <v>18</v>
      </c>
      <c r="E52" s="11" t="s">
        <v>297</v>
      </c>
      <c r="F52" s="12" t="s">
        <v>298</v>
      </c>
      <c r="G52" s="12" t="s">
        <v>299</v>
      </c>
      <c r="H52" s="12" t="s">
        <v>300</v>
      </c>
      <c r="I52" s="11" t="s">
        <v>7</v>
      </c>
    </row>
    <row r="53" spans="1:9" ht="24" hidden="1" customHeight="1">
      <c r="A53" s="11" t="s">
        <v>301</v>
      </c>
      <c r="B53" s="11" t="s">
        <v>11</v>
      </c>
      <c r="C53" s="11" t="s">
        <v>95</v>
      </c>
      <c r="D53" s="11" t="s">
        <v>21</v>
      </c>
      <c r="E53" s="11" t="s">
        <v>302</v>
      </c>
      <c r="F53" s="12" t="s">
        <v>303</v>
      </c>
      <c r="G53" s="12" t="s">
        <v>304</v>
      </c>
      <c r="H53" s="12" t="s">
        <v>305</v>
      </c>
      <c r="I53" s="11" t="s">
        <v>7</v>
      </c>
    </row>
    <row r="54" spans="1:9" ht="24" hidden="1" customHeight="1">
      <c r="A54" s="11" t="s">
        <v>306</v>
      </c>
      <c r="B54" s="11" t="s">
        <v>10</v>
      </c>
      <c r="C54" s="11" t="s">
        <v>143</v>
      </c>
      <c r="D54" s="11" t="s">
        <v>21</v>
      </c>
      <c r="E54" s="11" t="s">
        <v>307</v>
      </c>
      <c r="F54" s="12" t="s">
        <v>308</v>
      </c>
      <c r="G54" s="12" t="s">
        <v>309</v>
      </c>
      <c r="H54" s="12" t="s">
        <v>310</v>
      </c>
      <c r="I54" s="11" t="s">
        <v>7</v>
      </c>
    </row>
    <row r="55" spans="1:9" ht="24" hidden="1" customHeight="1">
      <c r="A55" s="11" t="s">
        <v>311</v>
      </c>
      <c r="B55" s="11" t="s">
        <v>10</v>
      </c>
      <c r="C55" s="11" t="s">
        <v>177</v>
      </c>
      <c r="D55" s="11" t="s">
        <v>21</v>
      </c>
      <c r="E55" s="11" t="s">
        <v>312</v>
      </c>
      <c r="F55" s="12" t="s">
        <v>313</v>
      </c>
      <c r="G55" s="12" t="s">
        <v>314</v>
      </c>
      <c r="H55" s="12" t="s">
        <v>315</v>
      </c>
      <c r="I55" s="11" t="s">
        <v>7</v>
      </c>
    </row>
    <row r="56" spans="1:9" ht="24" hidden="1" customHeight="1">
      <c r="A56" s="11" t="s">
        <v>316</v>
      </c>
      <c r="B56" s="11" t="s">
        <v>11</v>
      </c>
      <c r="C56" s="11" t="s">
        <v>317</v>
      </c>
      <c r="D56" s="11" t="s">
        <v>21</v>
      </c>
      <c r="E56" s="11" t="s">
        <v>318</v>
      </c>
      <c r="F56" s="12" t="s">
        <v>319</v>
      </c>
      <c r="G56" s="12" t="s">
        <v>320</v>
      </c>
      <c r="H56" s="12" t="s">
        <v>321</v>
      </c>
      <c r="I56" s="11" t="s">
        <v>7</v>
      </c>
    </row>
    <row r="57" spans="1:9" ht="24" hidden="1" customHeight="1">
      <c r="A57" s="11" t="s">
        <v>322</v>
      </c>
      <c r="B57" s="11" t="s">
        <v>10</v>
      </c>
      <c r="C57" s="11" t="s">
        <v>323</v>
      </c>
      <c r="D57" s="11" t="s">
        <v>21</v>
      </c>
      <c r="E57" s="11" t="s">
        <v>324</v>
      </c>
      <c r="F57" s="12" t="s">
        <v>325</v>
      </c>
      <c r="G57" s="12" t="s">
        <v>326</v>
      </c>
      <c r="H57" s="12" t="s">
        <v>327</v>
      </c>
      <c r="I57" s="11" t="s">
        <v>7</v>
      </c>
    </row>
    <row r="58" spans="1:9" ht="24" hidden="1" customHeight="1">
      <c r="A58" s="11" t="s">
        <v>328</v>
      </c>
      <c r="B58" s="11" t="s">
        <v>11</v>
      </c>
      <c r="C58" s="11" t="s">
        <v>329</v>
      </c>
      <c r="D58" s="11" t="s">
        <v>21</v>
      </c>
      <c r="E58" s="11" t="s">
        <v>330</v>
      </c>
      <c r="F58" s="12" t="s">
        <v>331</v>
      </c>
      <c r="G58" s="12" t="s">
        <v>332</v>
      </c>
      <c r="H58" s="12" t="s">
        <v>333</v>
      </c>
      <c r="I58" s="11" t="s">
        <v>7</v>
      </c>
    </row>
    <row r="59" spans="1:9" ht="24" hidden="1" customHeight="1">
      <c r="A59" s="11" t="s">
        <v>334</v>
      </c>
      <c r="B59" s="11" t="s">
        <v>11</v>
      </c>
      <c r="C59" s="11" t="s">
        <v>335</v>
      </c>
      <c r="D59" s="11" t="s">
        <v>21</v>
      </c>
      <c r="E59" s="11" t="s">
        <v>336</v>
      </c>
      <c r="F59" s="12" t="s">
        <v>337</v>
      </c>
      <c r="G59" s="12" t="s">
        <v>338</v>
      </c>
      <c r="H59" s="12" t="s">
        <v>339</v>
      </c>
      <c r="I59" s="11" t="s">
        <v>7</v>
      </c>
    </row>
    <row r="60" spans="1:9" ht="24" hidden="1" customHeight="1">
      <c r="A60" s="11" t="s">
        <v>340</v>
      </c>
      <c r="B60" s="11" t="s">
        <v>10</v>
      </c>
      <c r="C60" s="11" t="s">
        <v>341</v>
      </c>
      <c r="D60" s="11" t="s">
        <v>15</v>
      </c>
      <c r="E60" s="11" t="s">
        <v>342</v>
      </c>
      <c r="F60" s="12" t="s">
        <v>343</v>
      </c>
      <c r="G60" s="12" t="s">
        <v>344</v>
      </c>
      <c r="H60" s="12" t="s">
        <v>47</v>
      </c>
      <c r="I60" s="11" t="s">
        <v>7</v>
      </c>
    </row>
    <row r="61" spans="1:9" ht="24" hidden="1" customHeight="1">
      <c r="A61" s="11" t="s">
        <v>345</v>
      </c>
      <c r="B61" s="11" t="s">
        <v>10</v>
      </c>
      <c r="C61" s="11" t="s">
        <v>346</v>
      </c>
      <c r="D61" s="11" t="s">
        <v>21</v>
      </c>
      <c r="E61" s="11" t="s">
        <v>347</v>
      </c>
      <c r="F61" s="12" t="s">
        <v>348</v>
      </c>
      <c r="G61" s="12" t="s">
        <v>349</v>
      </c>
      <c r="H61" s="12" t="s">
        <v>350</v>
      </c>
      <c r="I61" s="11" t="s">
        <v>7</v>
      </c>
    </row>
    <row r="62" spans="1:9" ht="24" hidden="1" customHeight="1">
      <c r="A62" s="11" t="s">
        <v>351</v>
      </c>
      <c r="B62" s="11" t="s">
        <v>11</v>
      </c>
      <c r="C62" s="11" t="s">
        <v>335</v>
      </c>
      <c r="D62" s="11" t="s">
        <v>21</v>
      </c>
      <c r="E62" s="11" t="s">
        <v>352</v>
      </c>
      <c r="F62" s="12" t="s">
        <v>353</v>
      </c>
      <c r="G62" s="12" t="s">
        <v>354</v>
      </c>
      <c r="H62" s="12" t="s">
        <v>355</v>
      </c>
      <c r="I62" s="11" t="s">
        <v>7</v>
      </c>
    </row>
    <row r="63" spans="1:9" ht="24" hidden="1" customHeight="1">
      <c r="A63" s="11" t="s">
        <v>356</v>
      </c>
      <c r="B63" s="11" t="s">
        <v>10</v>
      </c>
      <c r="C63" s="11" t="s">
        <v>357</v>
      </c>
      <c r="D63" s="11" t="s">
        <v>21</v>
      </c>
      <c r="E63" s="11" t="s">
        <v>358</v>
      </c>
      <c r="F63" s="12" t="s">
        <v>359</v>
      </c>
      <c r="G63" s="12" t="s">
        <v>360</v>
      </c>
      <c r="H63" s="12" t="s">
        <v>361</v>
      </c>
      <c r="I63" s="11" t="s">
        <v>7</v>
      </c>
    </row>
    <row r="64" spans="1:9" ht="24" hidden="1" customHeight="1">
      <c r="A64" s="11" t="s">
        <v>362</v>
      </c>
      <c r="B64" s="11" t="s">
        <v>11</v>
      </c>
      <c r="C64" s="11" t="s">
        <v>224</v>
      </c>
      <c r="D64" s="11" t="s">
        <v>21</v>
      </c>
      <c r="E64" s="11" t="s">
        <v>363</v>
      </c>
      <c r="F64" s="12" t="s">
        <v>364</v>
      </c>
      <c r="G64" s="12" t="s">
        <v>365</v>
      </c>
      <c r="H64" s="12" t="s">
        <v>366</v>
      </c>
      <c r="I64" s="11" t="s">
        <v>7</v>
      </c>
    </row>
    <row r="65" spans="1:9" ht="36" hidden="1" customHeight="1">
      <c r="A65" s="11" t="s">
        <v>367</v>
      </c>
      <c r="B65" s="11" t="s">
        <v>10</v>
      </c>
      <c r="C65" s="11" t="s">
        <v>368</v>
      </c>
      <c r="D65" s="11" t="s">
        <v>24</v>
      </c>
      <c r="E65" s="11" t="s">
        <v>369</v>
      </c>
      <c r="F65" s="12" t="s">
        <v>370</v>
      </c>
      <c r="G65" s="12" t="s">
        <v>371</v>
      </c>
      <c r="H65" s="12" t="s">
        <v>372</v>
      </c>
      <c r="I65" s="11" t="s">
        <v>7</v>
      </c>
    </row>
    <row r="66" spans="1:9" ht="24" hidden="1" customHeight="1">
      <c r="A66" s="11" t="s">
        <v>373</v>
      </c>
      <c r="B66" s="11" t="s">
        <v>10</v>
      </c>
      <c r="C66" s="11" t="s">
        <v>374</v>
      </c>
      <c r="D66" s="11" t="s">
        <v>15</v>
      </c>
      <c r="E66" s="11" t="s">
        <v>375</v>
      </c>
      <c r="F66" s="12" t="s">
        <v>376</v>
      </c>
      <c r="G66" s="12" t="s">
        <v>377</v>
      </c>
      <c r="H66" s="12" t="s">
        <v>378</v>
      </c>
      <c r="I66" s="11" t="s">
        <v>7</v>
      </c>
    </row>
    <row r="67" spans="1:9" ht="24" hidden="1" customHeight="1">
      <c r="A67" s="11" t="s">
        <v>379</v>
      </c>
      <c r="B67" s="11" t="s">
        <v>10</v>
      </c>
      <c r="C67" s="11" t="s">
        <v>380</v>
      </c>
      <c r="D67" s="11" t="s">
        <v>21</v>
      </c>
      <c r="E67" s="11" t="s">
        <v>381</v>
      </c>
      <c r="F67" s="12" t="s">
        <v>382</v>
      </c>
      <c r="G67" s="12" t="s">
        <v>383</v>
      </c>
      <c r="H67" s="12" t="s">
        <v>239</v>
      </c>
      <c r="I67" s="11" t="s">
        <v>7</v>
      </c>
    </row>
    <row r="68" spans="1:9" ht="24" hidden="1" customHeight="1">
      <c r="A68" s="11" t="s">
        <v>384</v>
      </c>
      <c r="B68" s="11" t="s">
        <v>11</v>
      </c>
      <c r="C68" s="11" t="s">
        <v>224</v>
      </c>
      <c r="D68" s="11" t="s">
        <v>21</v>
      </c>
      <c r="E68" s="11" t="s">
        <v>127</v>
      </c>
      <c r="F68" s="12" t="s">
        <v>385</v>
      </c>
      <c r="G68" s="12" t="s">
        <v>386</v>
      </c>
      <c r="H68" s="12" t="s">
        <v>387</v>
      </c>
      <c r="I68" s="11" t="s">
        <v>7</v>
      </c>
    </row>
    <row r="69" spans="1:9">
      <c r="D69" s="13"/>
      <c r="E69" s="13"/>
      <c r="F69" s="13"/>
      <c r="G69" s="13"/>
      <c r="H69" s="13"/>
      <c r="I69" s="13"/>
    </row>
    <row r="70" spans="1:9">
      <c r="D70" s="13"/>
      <c r="E70" s="13"/>
      <c r="F70" s="13"/>
      <c r="G70" s="13"/>
      <c r="H70" s="13"/>
      <c r="I70" s="13"/>
    </row>
  </sheetData>
  <conditionalFormatting sqref="B5:B68">
    <cfRule type="containsText" dxfId="3" priority="1" operator="containsText" text="Critical"/>
    <cfRule type="containsText" dxfId="2" priority="3" operator="containsText" text="Medium"/>
    <cfRule type="containsText" dxfId="1" priority="4" operator="containsText" text="Low"/>
  </conditionalFormatting>
  <conditionalFormatting sqref="I5:I68">
    <cfRule type="containsText" dxfId="0" priority="5" operator="containsText" text="Verified"/>
  </conditionalFormatting>
  <dataValidations count="1">
    <dataValidation type="list" sqref="I5:I68" xr:uid="{00000000-0002-0000-0100-000000000000}">
      <formula1>"Open,In Progress,Fixed,Verified,Won't Fix"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Review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sreepada surya yedlapally</cp:lastModifiedBy>
  <dcterms:modified xsi:type="dcterms:W3CDTF">2026-10-04T12:17:24Z</dcterms:modified>
</cp:coreProperties>
</file>